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脱敏" sheetId="1" state="visible" r:id="rId1"/>
    <sheet xmlns:r="http://schemas.openxmlformats.org/officeDocument/2006/relationships" name="原料输入(脱敏)" sheetId="2" state="visible" r:id="rId2"/>
    <sheet xmlns:r="http://schemas.openxmlformats.org/officeDocument/2006/relationships" name="策略计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0C447C"/>
      <sz val="14"/>
    </font>
    <font>
      <b val="1"/>
    </font>
    <font>
      <b val="1"/>
      <color rgb="FFFF0000"/>
    </font>
    <font>
      <i val="1"/>
      <color rgb="FF808080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0C447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⚡综合最优报价策略 · 产出模板</t>
        </is>
      </c>
    </row>
    <row r="3" ht="60" customHeight="1">
      <c r="A3" s="2" t="inlineStr">
        <is>
          <t>对应工作流</t>
        </is>
      </c>
      <c r="B3" s="3" t="inlineStr">
        <is>
          <t>工作流③「汇聚产出」：由 ②分析处理（多维对比+度电利润+趋势+敏感性+政策解读）汇聚而成，输出「针对某电源/某时段，报价上调或下调 X 厘/千瓦时」的行动指令。</t>
        </is>
      </c>
    </row>
    <row r="4" ht="60" customHeight="1">
      <c r="A4" s="2" t="inlineStr">
        <is>
          <t>用法</t>
        </is>
      </c>
      <c r="B4" s="3" t="inlineStr">
        <is>
          <t>1) 在「原料输入(脱敏)」页填入 ①原料数据 中你脱敏后的数值；2) 「策略计算」页自动算出度电利润、煤价敏感性、建议报价调整(厘/kWh)。</t>
        </is>
      </c>
    </row>
    <row r="5" ht="60" customHeight="1">
      <c r="A5" s="4" t="inlineStr">
        <is>
          <t>⚠️脱敏红线</t>
        </is>
      </c>
      <c r="B5" s="4" t="inlineStr">
        <is>
          <t>本模板所有数字均为【示例占位·非真实数据】。真实的结算电价、度电成本、机组明细属内部经营数据——务必脱敏（机组名/厂名打码、真实价换区间或示例值）后再填入，绝不外传、绝不喂公开 AI、绝不发到网上。</t>
        </is>
      </c>
    </row>
    <row r="6" ht="60" customHeight="1">
      <c r="A6" s="2" t="inlineStr">
        <is>
          <t>敏感字段</t>
        </is>
      </c>
      <c r="B6" s="3" t="inlineStr">
        <is>
          <t>度电燃料成本、煤价指数用于敏感性分析；结算电价 vs 市场交易均价决定建议报价方向（结算价低于交易均价→上调抢量，高于→下调让利）。</t>
        </is>
      </c>
    </row>
    <row r="7" ht="60" customHeight="1">
      <c r="A7" s="2" t="inlineStr">
        <is>
          <t>调整系数说明</t>
        </is>
      </c>
      <c r="B7" s="3" t="inlineStr">
        <is>
          <t>「建议报价调整(厘)」= ROUND((市场交易均价 − 结算电价) × 1000, 1)。正值为建议上调、负值为建议下调。实际落地请结合你的成本线与风险承受度手动复核。</t>
        </is>
      </c>
    </row>
    <row r="9">
      <c r="A9" s="5" t="inlineStr">
        <is>
          <t>（示例数字见「原料输入(脱敏)」页，标灰底，请整列替换为你的脱敏值）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A2" s="6" t="inlineStr">
        <is>
          <t>电源类型</t>
        </is>
      </c>
      <c r="B2" s="6" t="inlineStr">
        <is>
          <t>结算电价
(元/kWh·示例)</t>
        </is>
      </c>
      <c r="C2" s="6" t="inlineStr">
        <is>
          <t>度电成本
(元/kWh·示例)</t>
        </is>
      </c>
      <c r="D2" s="6" t="inlineStr">
        <is>
          <t>标杆价/燃煤基准价
(元/kWh·示例)</t>
        </is>
      </c>
      <c r="E2" s="6" t="inlineStr">
        <is>
          <t>市场交易均价
(元/kWh·示例)</t>
        </is>
      </c>
      <c r="F2" s="6" t="inlineStr">
        <is>
          <t>度电燃料成本
(元/kWh·示例)</t>
        </is>
      </c>
      <c r="G2" s="6" t="inlineStr">
        <is>
          <t>煤价指数
(基准=100·示例)</t>
        </is>
      </c>
      <c r="H2" s="6" t="inlineStr">
        <is>
          <t>利用小时
(示例)</t>
        </is>
      </c>
      <c r="I2" s="6" t="inlineStr">
        <is>
          <t>计划电量
(亿kWh·示例)</t>
        </is>
      </c>
    </row>
    <row r="3">
      <c r="A3" s="7" t="inlineStr">
        <is>
          <t>煤电</t>
        </is>
      </c>
      <c r="B3" s="8" t="n">
        <v>0.37</v>
      </c>
      <c r="C3" s="8" t="n">
        <v>0.3</v>
      </c>
      <c r="D3" s="8" t="n">
        <v>0.37</v>
      </c>
      <c r="E3" s="8" t="n">
        <v>0.35</v>
      </c>
      <c r="F3" s="8" t="n">
        <v>0.2</v>
      </c>
      <c r="G3" s="8" t="n">
        <v>100</v>
      </c>
      <c r="H3" s="8" t="n">
        <v>4000</v>
      </c>
      <c r="I3" s="8" t="n">
        <v>50</v>
      </c>
    </row>
    <row r="4">
      <c r="A4" s="7" t="inlineStr">
        <is>
          <t>风电</t>
        </is>
      </c>
      <c r="B4" s="8" t="n">
        <v>0.4</v>
      </c>
      <c r="C4" s="8" t="n">
        <v>0.18</v>
      </c>
      <c r="D4" s="8" t="n">
        <v>0.4</v>
      </c>
      <c r="E4" s="8" t="n">
        <v>0.38</v>
      </c>
      <c r="F4" s="8" t="n">
        <v>0</v>
      </c>
      <c r="G4" s="8" t="n">
        <v>100</v>
      </c>
      <c r="H4" s="8" t="n">
        <v>2200</v>
      </c>
      <c r="I4" s="8" t="n">
        <v>20</v>
      </c>
    </row>
    <row r="5">
      <c r="A5" s="7" t="inlineStr">
        <is>
          <t>光伏</t>
        </is>
      </c>
      <c r="B5" s="8" t="n">
        <v>0.4</v>
      </c>
      <c r="C5" s="8" t="n">
        <v>0.2</v>
      </c>
      <c r="D5" s="8" t="n">
        <v>0.4</v>
      </c>
      <c r="E5" s="8" t="n">
        <v>0.38</v>
      </c>
      <c r="F5" s="8" t="n">
        <v>0</v>
      </c>
      <c r="G5" s="8" t="n">
        <v>100</v>
      </c>
      <c r="H5" s="8" t="n">
        <v>1400</v>
      </c>
      <c r="I5" s="8" t="n">
        <v>15</v>
      </c>
    </row>
    <row r="6">
      <c r="A6" s="7" t="inlineStr">
        <is>
          <t>核电</t>
        </is>
      </c>
      <c r="B6" s="8" t="n">
        <v>0.42</v>
      </c>
      <c r="C6" s="8" t="n">
        <v>0.25</v>
      </c>
      <c r="D6" s="8" t="n">
        <v>0.42</v>
      </c>
      <c r="E6" s="8" t="n">
        <v>0.4</v>
      </c>
      <c r="F6" s="8" t="n">
        <v>0.05</v>
      </c>
      <c r="G6" s="8" t="n">
        <v>100</v>
      </c>
      <c r="H6" s="8" t="n">
        <v>7000</v>
      </c>
      <c r="I6" s="8" t="n">
        <v>30</v>
      </c>
    </row>
    <row r="8">
      <c r="A8" s="9" t="inlineStr">
        <is>
          <t>⚠️ 上表全部为示例占位数字，请整列替换为你的脱敏后真实值（XX 或区间）。</t>
        </is>
      </c>
    </row>
  </sheetData>
  <mergeCells count="1">
    <mergeCell ref="A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2" customWidth="1" min="7" max="7"/>
  </cols>
  <sheetData>
    <row r="2">
      <c r="A2" s="6" t="inlineStr">
        <is>
          <t>电源类型</t>
        </is>
      </c>
      <c r="B2" s="6" t="inlineStr">
        <is>
          <t>度电利润
(元/kWh)</t>
        </is>
      </c>
      <c r="C2" s="6" t="inlineStr">
        <is>
          <t>利润 vs 标杆
(元/kWh)</t>
        </is>
      </c>
      <c r="D2" s="6" t="inlineStr">
        <is>
          <t>煤价+10%
新度电利润</t>
        </is>
      </c>
      <c r="E2" s="6" t="inlineStr">
        <is>
          <t>煤价+10%
利润变动</t>
        </is>
      </c>
      <c r="F2" s="6" t="inlineStr">
        <is>
          <t>建议报价调整
(厘/kWh)</t>
        </is>
      </c>
      <c r="G2" s="6" t="inlineStr">
        <is>
          <t>策略结论(自动生成)</t>
        </is>
      </c>
    </row>
    <row r="3">
      <c r="A3" s="10">
        <f>A3</f>
        <v/>
      </c>
      <c r="B3" s="10">
        <f>'原料输入(脱敏)'!B3-'原料输入(脱敏)'!C3</f>
        <v/>
      </c>
      <c r="C3" s="10">
        <f>'原料输入(脱敏)'!B3-'原料输入(脱敏)'!D3</f>
        <v/>
      </c>
      <c r="D3" s="10">
        <f>'原料输入(脱敏)'!B3-('原料输入(脱敏)'!C3+'原料输入(脱敏)'!F3*0.1)</f>
        <v/>
      </c>
      <c r="E3" s="10">
        <f>D3-B3</f>
        <v/>
      </c>
      <c r="F3" s="10">
        <f>ROUND(('原料输入(脱敏)'!E3-'原料输入(脱敏)'!B3)*1000,1)</f>
        <v/>
      </c>
      <c r="G3" s="11">
        <f>IF(F3&gt;0,"建议将"&amp;A3&amp;"报价上调"&amp;TEXT(F3,"0.0")&amp;"厘/千瓦时",IF(F3&lt;0,"建议将"&amp;A3&amp;"报价下调"&amp;TEXT(ABS(F3),"0.0")&amp;"厘/千瓦时","建议"&amp;A3&amp;"报价维持不变"))</f>
        <v/>
      </c>
    </row>
    <row r="4">
      <c r="A4" s="10">
        <f>A4</f>
        <v/>
      </c>
      <c r="B4" s="10">
        <f>'原料输入(脱敏)'!B4-'原料输入(脱敏)'!C4</f>
        <v/>
      </c>
      <c r="C4" s="10">
        <f>'原料输入(脱敏)'!B4-'原料输入(脱敏)'!D4</f>
        <v/>
      </c>
      <c r="D4" s="10">
        <f>'原料输入(脱敏)'!B4-('原料输入(脱敏)'!C4+'原料输入(脱敏)'!F4*0.1)</f>
        <v/>
      </c>
      <c r="E4" s="10">
        <f>D4-B4</f>
        <v/>
      </c>
      <c r="F4" s="10">
        <f>ROUND(('原料输入(脱敏)'!E4-'原料输入(脱敏)'!B4)*1000,1)</f>
        <v/>
      </c>
      <c r="G4" s="11">
        <f>IF(F4&gt;0,"建议将"&amp;A4&amp;"报价上调"&amp;TEXT(F4,"0.0")&amp;"厘/千瓦时",IF(F4&lt;0,"建议将"&amp;A4&amp;"报价下调"&amp;TEXT(ABS(F4),"0.0")&amp;"厘/千瓦时","建议"&amp;A4&amp;"报价维持不变"))</f>
        <v/>
      </c>
    </row>
    <row r="5">
      <c r="A5" s="10">
        <f>A5</f>
        <v/>
      </c>
      <c r="B5" s="10">
        <f>'原料输入(脱敏)'!B5-'原料输入(脱敏)'!C5</f>
        <v/>
      </c>
      <c r="C5" s="10">
        <f>'原料输入(脱敏)'!B5-'原料输入(脱敏)'!D5</f>
        <v/>
      </c>
      <c r="D5" s="10">
        <f>'原料输入(脱敏)'!B5-('原料输入(脱敏)'!C5+'原料输入(脱敏)'!F5*0.1)</f>
        <v/>
      </c>
      <c r="E5" s="10">
        <f>D5-B5</f>
        <v/>
      </c>
      <c r="F5" s="10">
        <f>ROUND(('原料输入(脱敏)'!E5-'原料输入(脱敏)'!B5)*1000,1)</f>
        <v/>
      </c>
      <c r="G5" s="11">
        <f>IF(F5&gt;0,"建议将"&amp;A5&amp;"报价上调"&amp;TEXT(F5,"0.0")&amp;"厘/千瓦时",IF(F5&lt;0,"建议将"&amp;A5&amp;"报价下调"&amp;TEXT(ABS(F5),"0.0")&amp;"厘/千瓦时","建议"&amp;A5&amp;"报价维持不变"))</f>
        <v/>
      </c>
    </row>
    <row r="6">
      <c r="A6" s="10">
        <f>A6</f>
        <v/>
      </c>
      <c r="B6" s="10">
        <f>'原料输入(脱敏)'!B6-'原料输入(脱敏)'!C6</f>
        <v/>
      </c>
      <c r="C6" s="10">
        <f>'原料输入(脱敏)'!B6-'原料输入(脱敏)'!D6</f>
        <v/>
      </c>
      <c r="D6" s="10">
        <f>'原料输入(脱敏)'!B6-('原料输入(脱敏)'!C6+'原料输入(脱敏)'!F6*0.1)</f>
        <v/>
      </c>
      <c r="E6" s="10">
        <f>D6-B6</f>
        <v/>
      </c>
      <c r="F6" s="10">
        <f>ROUND(('原料输入(脱敏)'!E6-'原料输入(脱敏)'!B6)*1000,1)</f>
        <v/>
      </c>
      <c r="G6" s="11">
        <f>IF(F6&gt;0,"建议将"&amp;A6&amp;"报价上调"&amp;TEXT(F6,"0.0")&amp;"厘/千瓦时",IF(F6&lt;0,"建议将"&amp;A6&amp;"报价下调"&amp;TEXT(ABS(F6),"0.0")&amp;"厘/千瓦时","建议"&amp;A6&amp;"报价维持不变"))</f>
        <v/>
      </c>
    </row>
    <row r="8">
      <c r="A8" s="9" t="inlineStr">
        <is>
          <t>⚠️ 结论为算法建议，落地前须结合成本线与风险承受度人工复核；所有数值均基于示例占位，替换脱敏真实值后方可参考。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2026-08-28T06:07:35Z</dcterms:created>
  <dcterms:modified xmlns:dcterms="http://purl.org/dc/terms/" xmlns:xsi="http://www.w3.org/2001/XMLSchema-instance" xsi:type="dcterms:W3CDTF">2026-08-28T06:07:35Z</dcterms:modified>
</cp:coreProperties>
</file>